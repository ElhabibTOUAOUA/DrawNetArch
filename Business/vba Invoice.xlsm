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D:\petro service 2019\"/>
    </mc:Choice>
  </mc:AlternateContent>
  <xr:revisionPtr revIDLastSave="0" documentId="13_ncr:1_{70C6AB3D-0F76-4FB9-879B-E9EEE5094D11}" xr6:coauthVersionLast="43" xr6:coauthVersionMax="43" xr10:uidLastSave="{00000000-0000-0000-0000-000000000000}"/>
  <bookViews>
    <workbookView xWindow="-120" yWindow="-120" windowWidth="19440" windowHeight="15000" xr2:uid="{00000000-000D-0000-FFFF-FFFF00000000}"/>
  </bookViews>
  <sheets>
    <sheet name="Invoice" sheetId="4" r:id="rId1"/>
    <sheet name="Data" sheetId="1" r:id="rId2"/>
    <sheet name="Sales" sheetId="2" r:id="rId3"/>
    <sheet name="Customers Data" sheetId="6" r:id="rId4"/>
    <sheet name="Class" sheetId="7" r:id="rId5"/>
  </sheets>
  <definedNames>
    <definedName name="_xlnm._FilterDatabase" localSheetId="2" hidden="1">Sales!$A$1:$H$459</definedName>
    <definedName name="Sales_Class">Class!$B$3:$B$11</definedName>
    <definedName name="Vendor_Name">'Customers Data'!$B$3:$B$41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3" i="4" l="1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12" i="4"/>
  <c r="I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12" i="4"/>
  <c r="B12" i="4"/>
  <c r="C5" i="4" l="1"/>
  <c r="G51" i="4" l="1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12" i="4"/>
  <c r="C9" i="4" l="1"/>
  <c r="D9" i="4" l="1"/>
  <c r="G9" i="4" s="1"/>
</calcChain>
</file>

<file path=xl/sharedStrings.xml><?xml version="1.0" encoding="utf-8"?>
<sst xmlns="http://schemas.openxmlformats.org/spreadsheetml/2006/main" count="223" uniqueCount="26">
  <si>
    <t>Invoice #</t>
  </si>
  <si>
    <t>Invoice Type</t>
  </si>
  <si>
    <t>Sub Total</t>
  </si>
  <si>
    <t>Discount</t>
  </si>
  <si>
    <t>VAT</t>
  </si>
  <si>
    <t>Final Total</t>
  </si>
  <si>
    <t>Discription</t>
  </si>
  <si>
    <t>QYT</t>
  </si>
  <si>
    <t>Unit</t>
  </si>
  <si>
    <t>Unit Price</t>
  </si>
  <si>
    <t>Total</t>
  </si>
  <si>
    <t>Invoice Date</t>
  </si>
  <si>
    <t>Description</t>
  </si>
  <si>
    <t>Item#</t>
  </si>
  <si>
    <t>Unite Price</t>
  </si>
  <si>
    <t>invoice</t>
  </si>
  <si>
    <t>date</t>
  </si>
  <si>
    <t/>
  </si>
  <si>
    <t>TAX NO</t>
  </si>
  <si>
    <t>Service</t>
  </si>
  <si>
    <t xml:space="preserve"> Class</t>
  </si>
  <si>
    <t>Vendor</t>
  </si>
  <si>
    <t>WHT</t>
  </si>
  <si>
    <t>Customer Name</t>
  </si>
  <si>
    <t>Sales Class</t>
  </si>
  <si>
    <t>Mohamed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</si>
</sst>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00\-000\-000"/>
  </numFmts>
  <fonts count="6" x14ac:knownFonts="1">
    <font>
      <sz val="11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u/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gradientFill degree="90">
        <stop position="0">
          <color theme="0"/>
        </stop>
        <stop position="1">
          <color theme="9" tint="0.80001220740379042"/>
        </stop>
      </gradientFill>
    </fill>
    <fill>
      <gradientFill degree="90">
        <stop position="0">
          <color theme="0"/>
        </stop>
        <stop position="1">
          <color rgb="FFCCFFFF"/>
        </stop>
      </gradient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5" fillId="0" borderId="0"/>
  </cellStyleXfs>
  <cellXfs count="46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14" fontId="4" fillId="0" borderId="4" xfId="0" applyNumberFormat="1" applyFont="1" applyBorder="1" applyAlignment="1">
      <alignment horizontal="center" vertical="center" wrapText="1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4" borderId="5" xfId="0" applyFont="1" applyFill="1" applyBorder="1" applyAlignment="1" applyProtection="1">
      <alignment horizontal="center" vertical="center"/>
      <protection locked="0"/>
    </xf>
    <xf numFmtId="14" fontId="1" fillId="4" borderId="6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4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3" xfId="0" applyFont="1" applyFill="1" applyBorder="1" applyAlignment="1" applyProtection="1">
      <alignment horizontal="center" vertical="center"/>
      <protection locked="0"/>
    </xf>
    <xf numFmtId="0" fontId="1" fillId="4" borderId="12" xfId="0" applyFont="1" applyFill="1" applyBorder="1" applyAlignment="1" applyProtection="1">
      <alignment horizontal="center" vertical="center"/>
      <protection locked="0"/>
    </xf>
    <xf numFmtId="0" fontId="0" fillId="3" borderId="5" xfId="0" applyFont="1" applyFill="1" applyBorder="1" applyAlignment="1" applyProtection="1">
      <alignment horizontal="center" vertical="center"/>
      <protection locked="0"/>
    </xf>
    <xf numFmtId="0" fontId="0" fillId="3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64" fontId="1" fillId="3" borderId="9" xfId="1" applyFont="1" applyFill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2" borderId="4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Alignment="1" applyProtection="1">
      <alignment horizontal="center" vertical="center"/>
      <protection locked="0"/>
    </xf>
    <xf numFmtId="164" fontId="0" fillId="0" borderId="4" xfId="1" applyFont="1" applyBorder="1" applyAlignment="1" applyProtection="1">
      <alignment horizontal="center" vertical="center"/>
      <protection locked="0"/>
    </xf>
    <xf numFmtId="14" fontId="0" fillId="0" borderId="0" xfId="0" applyNumberFormat="1" applyFont="1" applyAlignment="1" applyProtection="1">
      <alignment horizontal="center" vertical="center"/>
      <protection locked="0"/>
    </xf>
    <xf numFmtId="164" fontId="0" fillId="0" borderId="4" xfId="1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164" fontId="1" fillId="3" borderId="10" xfId="1" applyFont="1" applyFill="1" applyBorder="1" applyAlignment="1" applyProtection="1">
      <alignment horizontal="center" vertical="center"/>
    </xf>
    <xf numFmtId="164" fontId="3" fillId="5" borderId="11" xfId="1" applyFont="1" applyFill="1" applyBorder="1" applyAlignment="1" applyProtection="1">
      <alignment horizontal="center" vertical="center"/>
    </xf>
    <xf numFmtId="14" fontId="1" fillId="0" borderId="0" xfId="0" applyNumberFormat="1" applyFont="1" applyAlignment="1" applyProtection="1">
      <alignment horizontal="center" vertical="center"/>
      <protection locked="0"/>
    </xf>
    <xf numFmtId="164" fontId="0" fillId="0" borderId="0" xfId="0" applyNumberFormat="1" applyAlignment="1">
      <alignment horizontal="center" vertical="center"/>
    </xf>
    <xf numFmtId="16" fontId="1" fillId="0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1" fillId="0" borderId="13" xfId="0" applyFont="1" applyBorder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5" fontId="1" fillId="4" borderId="4" xfId="0" applyNumberFormat="1" applyFont="1" applyFill="1" applyBorder="1" applyAlignment="1" applyProtection="1">
      <alignment horizontal="center" vertical="center"/>
    </xf>
    <xf numFmtId="164" fontId="4" fillId="0" borderId="4" xfId="1" applyFont="1" applyBorder="1" applyAlignment="1">
      <alignment horizontal="center" vertical="center" wrapText="1"/>
    </xf>
    <xf numFmtId="164" fontId="1" fillId="3" borderId="10" xfId="1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Normal 2" xfId="2" xr:uid="{00000000-0005-0000-0000-000002000000}"/>
  </cellStyles>
  <dxfs count="28">
    <dxf>
      <alignment horizontal="center" vertical="center" textRotation="0" wrapText="0" indent="0" justifyLastLine="0" shrinkToFit="0" readingOrder="0"/>
    </dxf>
    <dxf>
      <numFmt numFmtId="165" formatCode="000\-000\-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_(* #,##0.00_);_(* \(#,##0.00\);_(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00\-000\-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CCFFFF"/>
      <color rgb="FF9BB3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85725</xdr:rowOff>
    </xdr:from>
    <xdr:to>
      <xdr:col>5</xdr:col>
      <xdr:colOff>542925</xdr:colOff>
      <xdr:row>2</xdr:row>
      <xdr:rowOff>152400</xdr:rowOff>
    </xdr:to>
    <xdr:sp macro="[0]!invoic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E44F720-8569-4CEF-A081-042EDB9B0CA3}"/>
            </a:ext>
          </a:extLst>
        </xdr:cNvPr>
        <xdr:cNvSpPr/>
      </xdr:nvSpPr>
      <xdr:spPr>
        <a:xfrm>
          <a:off x="4095750" y="295275"/>
          <a:ext cx="1809750" cy="2667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RECORD</a:t>
          </a:r>
          <a:endParaRPr lang="ar-EG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409575</xdr:colOff>
      <xdr:row>3</xdr:row>
      <xdr:rowOff>9525</xdr:rowOff>
    </xdr:from>
    <xdr:to>
      <xdr:col>5</xdr:col>
      <xdr:colOff>542925</xdr:colOff>
      <xdr:row>4</xdr:row>
      <xdr:rowOff>85725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AA7244D-9FBB-4209-8BA0-AF6A429CDB9C}"/>
            </a:ext>
          </a:extLst>
        </xdr:cNvPr>
        <xdr:cNvSpPr/>
      </xdr:nvSpPr>
      <xdr:spPr>
        <a:xfrm>
          <a:off x="4095750" y="619125"/>
          <a:ext cx="2085975" cy="2762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ar-EG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2" totalsRowShown="0" headerRowDxfId="27" dataDxfId="26">
  <autoFilter ref="A1:J2" xr:uid="{00000000-0009-0000-0100-000001000000}"/>
  <sortState ref="A2:O66">
    <sortCondition ref="B24"/>
  </sortState>
  <tableColumns count="10">
    <tableColumn id="1" xr3:uid="{00000000-0010-0000-0000-000001000000}" name="Invoice Date" dataDxfId="25" totalsRowDxfId="24"/>
    <tableColumn id="2" xr3:uid="{00000000-0010-0000-0000-000002000000}" name="Invoice #" dataDxfId="23" totalsRowDxfId="22"/>
    <tableColumn id="4" xr3:uid="{00000000-0010-0000-0000-000004000000}" name="Customer Name" dataDxfId="21" totalsRowDxfId="20"/>
    <tableColumn id="3" xr3:uid="{00000000-0010-0000-0000-000003000000}" name="TAX NO" dataDxfId="19" totalsRowDxfId="18"/>
    <tableColumn id="5" xr3:uid="{00000000-0010-0000-0000-000005000000}" name="Sales Class" dataDxfId="17" totalsRowDxfId="16"/>
    <tableColumn id="6" xr3:uid="{00000000-0010-0000-0000-000006000000}" name="Invoice Type" dataDxfId="15" totalsRowDxfId="14"/>
    <tableColumn id="7" xr3:uid="{00000000-0010-0000-0000-000007000000}" name="Sub Total" dataDxfId="13" totalsRowDxfId="12" dataCellStyle="Comma"/>
    <tableColumn id="11" xr3:uid="{00000000-0010-0000-0000-00000B000000}" name="VAT" dataDxfId="11" totalsRowDxfId="10" dataCellStyle="Comma"/>
    <tableColumn id="9" xr3:uid="{00000000-0010-0000-0000-000009000000}" name="WHT" dataDxfId="9" totalsRowDxfId="8" dataCellStyle="Comma"/>
    <tableColumn id="13" xr3:uid="{00000000-0010-0000-0000-00000D000000}" name="Final Total" dataDxfId="7" totalsRowDxfId="6" dataCellStyle="Comma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B2:C41" totalsRowShown="0" headerRowDxfId="4" dataDxfId="3">
  <autoFilter ref="B2:C41" xr:uid="{00000000-0009-0000-0100-000002000000}"/>
  <tableColumns count="2">
    <tableColumn id="1" xr3:uid="{00000000-0010-0000-0100-000001000000}" name="Customer Name" dataDxfId="2"/>
    <tableColumn id="2" xr3:uid="{00000000-0010-0000-0100-000002000000}" name="TAX N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4" displayName="Table4" ref="B2:B11" totalsRowShown="0">
  <autoFilter ref="B2:B11" xr:uid="{00000000-0009-0000-0100-000004000000}"/>
  <tableColumns count="1">
    <tableColumn id="1" xr3:uid="{00000000-0010-0000-0200-000001000000}" name=" Clas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36F875A-DA7B-409D-8F2E-966D779C8783}">
  <we:reference id="wa104379498" version="1.0.0.0" store="en-US" storeType="OMEX"/>
  <we:alternateReferences>
    <we:reference id="WA104379498" version="1.0.0.0" store="WA104379498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O51"/>
  <sheetViews>
    <sheetView showGridLines="0"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G55" sqref="G55"/>
    </sheetView>
  </sheetViews>
  <sheetFormatPr defaultColWidth="9" defaultRowHeight="15" x14ac:dyDescent="0.2"/>
  <cols>
    <col min="1" max="1" width="9" style="13"/>
    <col min="2" max="2" width="16" style="11" bestFit="1" customWidth="1"/>
    <col min="3" max="3" width="30.25" style="12" customWidth="1"/>
    <col min="4" max="4" width="14.75" style="12" customWidth="1"/>
    <col min="5" max="5" width="14.625" style="12" bestFit="1" customWidth="1"/>
    <col min="6" max="6" width="14.125" style="12" customWidth="1"/>
    <col min="7" max="7" width="21.875" style="12" customWidth="1"/>
    <col min="8" max="8" width="7.375" style="12" hidden="1" customWidth="1"/>
    <col min="9" max="9" width="10.75" style="12" hidden="1" customWidth="1"/>
    <col min="10" max="10" width="9.625" style="12" hidden="1" customWidth="1"/>
    <col min="11" max="14" width="9" style="13"/>
    <col min="15" max="15" width="11.125" style="13" bestFit="1" customWidth="1"/>
    <col min="16" max="16384" width="9" style="13"/>
  </cols>
  <sheetData>
    <row r="1" spans="2:10" ht="15.75" thickBot="1" x14ac:dyDescent="0.25"/>
    <row r="2" spans="2:10" x14ac:dyDescent="0.2">
      <c r="B2" s="14" t="s">
        <v>11</v>
      </c>
      <c r="C2" s="15"/>
      <c r="D2" s="16"/>
      <c r="E2" s="17"/>
      <c r="F2" s="17"/>
      <c r="G2" s="39"/>
      <c r="H2" s="13"/>
      <c r="I2" s="13"/>
      <c r="J2" s="13"/>
    </row>
    <row r="3" spans="2:10" x14ac:dyDescent="0.2">
      <c r="B3" s="18" t="s">
        <v>0</v>
      </c>
      <c r="C3" s="19"/>
      <c r="D3" s="20"/>
      <c r="E3" s="21"/>
      <c r="F3" s="21"/>
      <c r="G3" s="22"/>
      <c r="H3" s="13"/>
      <c r="I3" s="13"/>
      <c r="J3" s="13"/>
    </row>
    <row r="4" spans="2:10" x14ac:dyDescent="0.2">
      <c r="B4" s="18" t="s">
        <v>23</v>
      </c>
      <c r="C4" s="19"/>
      <c r="D4" s="21"/>
      <c r="E4" s="21"/>
      <c r="F4" s="21"/>
      <c r="G4" s="22"/>
      <c r="H4" s="13"/>
      <c r="I4" s="13"/>
      <c r="J4" s="13"/>
    </row>
    <row r="5" spans="2:10" x14ac:dyDescent="0.2">
      <c r="B5" s="18" t="s">
        <v>18</v>
      </c>
      <c r="C5" s="43" t="str">
        <f>IFERROR(VLOOKUP($C$4,Table2[],2,0),"")</f>
        <v/>
      </c>
      <c r="D5" s="21"/>
      <c r="E5" s="21"/>
      <c r="F5" s="21"/>
      <c r="G5" s="22"/>
      <c r="H5" s="13"/>
      <c r="I5" s="13"/>
      <c r="J5" s="13"/>
    </row>
    <row r="6" spans="2:10" x14ac:dyDescent="0.2">
      <c r="B6" s="18" t="s">
        <v>24</v>
      </c>
      <c r="C6" s="19"/>
      <c r="D6" s="21"/>
      <c r="E6" s="21"/>
      <c r="F6" s="21"/>
      <c r="G6" s="22"/>
      <c r="H6" s="13"/>
      <c r="I6" s="13"/>
      <c r="J6" s="13"/>
    </row>
    <row r="7" spans="2:10" ht="15.75" thickBot="1" x14ac:dyDescent="0.25">
      <c r="B7" s="23" t="s">
        <v>1</v>
      </c>
      <c r="C7" s="19"/>
      <c r="D7" s="40"/>
      <c r="E7" s="40"/>
      <c r="F7" s="40"/>
      <c r="G7" s="22"/>
      <c r="H7" s="13"/>
      <c r="I7" s="13"/>
      <c r="J7" s="13"/>
    </row>
    <row r="8" spans="2:10" ht="22.5" customHeight="1" x14ac:dyDescent="0.2">
      <c r="B8" s="24" t="s">
        <v>3</v>
      </c>
      <c r="C8" s="25" t="s">
        <v>2</v>
      </c>
      <c r="D8" s="25" t="s">
        <v>4</v>
      </c>
      <c r="E8" s="25" t="s">
        <v>22</v>
      </c>
      <c r="F8" s="28"/>
      <c r="G8" s="26" t="s">
        <v>5</v>
      </c>
      <c r="H8" s="13"/>
      <c r="I8" s="13"/>
      <c r="J8" s="13"/>
    </row>
    <row r="9" spans="2:10" ht="20.25" customHeight="1" thickBot="1" x14ac:dyDescent="0.25">
      <c r="B9" s="27"/>
      <c r="C9" s="35">
        <f>SUM(G12:$G$51)-$B$9</f>
        <v>0</v>
      </c>
      <c r="D9" s="35">
        <f>IF($C$7="Tax",$C$9*0.14,0)</f>
        <v>0</v>
      </c>
      <c r="E9" s="45"/>
      <c r="F9" s="41"/>
      <c r="G9" s="36">
        <f>$C$9+$D$9-$E$9</f>
        <v>0</v>
      </c>
      <c r="H9" s="13"/>
      <c r="I9" s="13"/>
      <c r="J9" s="13"/>
    </row>
    <row r="10" spans="2:10" ht="11.25" customHeight="1" x14ac:dyDescent="0.2">
      <c r="D10" s="28"/>
      <c r="E10" s="28"/>
      <c r="F10" s="28"/>
      <c r="G10" s="28"/>
      <c r="H10" s="13"/>
      <c r="I10" s="13"/>
      <c r="J10" s="13"/>
    </row>
    <row r="11" spans="2:10" x14ac:dyDescent="0.2">
      <c r="B11" s="29" t="s">
        <v>13</v>
      </c>
      <c r="C11" s="29" t="s">
        <v>12</v>
      </c>
      <c r="D11" s="29" t="s">
        <v>8</v>
      </c>
      <c r="E11" s="29" t="s">
        <v>7</v>
      </c>
      <c r="F11" s="29" t="s">
        <v>14</v>
      </c>
      <c r="G11" s="29" t="s">
        <v>10</v>
      </c>
      <c r="H11" s="12" t="s">
        <v>15</v>
      </c>
      <c r="I11" s="13" t="s">
        <v>16</v>
      </c>
      <c r="J11" s="12" t="s">
        <v>21</v>
      </c>
    </row>
    <row r="12" spans="2:10" x14ac:dyDescent="0.2">
      <c r="B12" s="34" t="str">
        <f>IF(C12&lt;&gt;"",_xlfn.AGGREGATE(3,3,$C$12:C12),"")</f>
        <v/>
      </c>
      <c r="C12" s="30"/>
      <c r="D12" s="30"/>
      <c r="E12" s="30"/>
      <c r="F12" s="31"/>
      <c r="G12" s="33" t="str">
        <f>IF(C12&lt;&gt;"",E12*F12,"")</f>
        <v/>
      </c>
      <c r="H12" s="12" t="str">
        <f>IF($C12&lt;&gt;"",$C$3,"")</f>
        <v/>
      </c>
      <c r="I12" s="32" t="str">
        <f>IF($C12&lt;&gt;"",$C$2,"")</f>
        <v/>
      </c>
      <c r="J12" s="12" t="str">
        <f>IF($C12&lt;&gt;"",$C$4,"")</f>
        <v/>
      </c>
    </row>
    <row r="13" spans="2:10" x14ac:dyDescent="0.2">
      <c r="B13" s="34" t="str">
        <f>IF(C13&lt;&gt;"",_xlfn.AGGREGATE(3,3,$C$12:C13),"")</f>
        <v/>
      </c>
      <c r="C13" s="30"/>
      <c r="D13" s="30"/>
      <c r="E13" s="30"/>
      <c r="F13" s="31"/>
      <c r="G13" s="33" t="str">
        <f t="shared" ref="G13:G50" si="0">IF(C13&lt;&gt;"",E13*F13,"")</f>
        <v/>
      </c>
      <c r="H13" s="12" t="str">
        <f t="shared" ref="H13:H51" si="1">IF($C13&lt;&gt;"",$C$3,"")</f>
        <v/>
      </c>
      <c r="I13" s="32" t="str">
        <f t="shared" ref="I13:I51" si="2">IF($C13&lt;&gt;"",$C$2,"")</f>
        <v/>
      </c>
      <c r="J13" s="12" t="str">
        <f t="shared" ref="J13:J51" si="3">IF($C13&lt;&gt;"",$C$4,"")</f>
        <v/>
      </c>
    </row>
    <row r="14" spans="2:10" x14ac:dyDescent="0.2">
      <c r="B14" s="34" t="str">
        <f>IF(C14&lt;&gt;"",_xlfn.AGGREGATE(3,3,$C$12:C14),"")</f>
        <v/>
      </c>
      <c r="C14" s="30"/>
      <c r="D14" s="30"/>
      <c r="E14" s="30"/>
      <c r="F14" s="31"/>
      <c r="G14" s="33" t="str">
        <f t="shared" si="0"/>
        <v/>
      </c>
      <c r="H14" s="12" t="str">
        <f t="shared" si="1"/>
        <v/>
      </c>
      <c r="I14" s="32" t="str">
        <f t="shared" si="2"/>
        <v/>
      </c>
      <c r="J14" s="12" t="str">
        <f t="shared" si="3"/>
        <v/>
      </c>
    </row>
    <row r="15" spans="2:10" x14ac:dyDescent="0.2">
      <c r="B15" s="34" t="str">
        <f>IF(C15&lt;&gt;"",_xlfn.AGGREGATE(3,3,$C$12:C15),"")</f>
        <v/>
      </c>
      <c r="C15" s="30"/>
      <c r="D15" s="30"/>
      <c r="E15" s="30"/>
      <c r="F15" s="31"/>
      <c r="G15" s="33" t="str">
        <f t="shared" si="0"/>
        <v/>
      </c>
      <c r="H15" s="12" t="str">
        <f t="shared" si="1"/>
        <v/>
      </c>
      <c r="I15" s="32" t="str">
        <f t="shared" si="2"/>
        <v/>
      </c>
      <c r="J15" s="12" t="str">
        <f t="shared" si="3"/>
        <v/>
      </c>
    </row>
    <row r="16" spans="2:10" x14ac:dyDescent="0.2">
      <c r="B16" s="34" t="str">
        <f>IF(C16&lt;&gt;"",_xlfn.AGGREGATE(3,3,$C$12:C16),"")</f>
        <v/>
      </c>
      <c r="C16" s="30"/>
      <c r="D16" s="30"/>
      <c r="E16" s="30"/>
      <c r="F16" s="31"/>
      <c r="G16" s="33" t="str">
        <f t="shared" si="0"/>
        <v/>
      </c>
      <c r="H16" s="12" t="str">
        <f t="shared" si="1"/>
        <v/>
      </c>
      <c r="I16" s="32" t="str">
        <f t="shared" si="2"/>
        <v/>
      </c>
      <c r="J16" s="12" t="str">
        <f t="shared" si="3"/>
        <v/>
      </c>
    </row>
    <row r="17" spans="2:15" x14ac:dyDescent="0.2">
      <c r="B17" s="34" t="str">
        <f>IF(C17&lt;&gt;"",_xlfn.AGGREGATE(3,3,$C$12:C17),"")</f>
        <v/>
      </c>
      <c r="C17" s="30"/>
      <c r="D17" s="30"/>
      <c r="E17" s="30"/>
      <c r="F17" s="31"/>
      <c r="G17" s="33" t="str">
        <f t="shared" si="0"/>
        <v/>
      </c>
      <c r="H17" s="12" t="str">
        <f t="shared" si="1"/>
        <v/>
      </c>
      <c r="I17" s="32" t="str">
        <f t="shared" si="2"/>
        <v/>
      </c>
      <c r="J17" s="12" t="str">
        <f t="shared" si="3"/>
        <v/>
      </c>
    </row>
    <row r="18" spans="2:15" x14ac:dyDescent="0.2">
      <c r="B18" s="34" t="str">
        <f>IF(C18&lt;&gt;"",_xlfn.AGGREGATE(3,3,$C$12:C18),"")</f>
        <v/>
      </c>
      <c r="C18" s="30"/>
      <c r="D18" s="30"/>
      <c r="E18" s="30"/>
      <c r="F18" s="31"/>
      <c r="G18" s="33" t="str">
        <f t="shared" si="0"/>
        <v/>
      </c>
      <c r="H18" s="12" t="str">
        <f t="shared" si="1"/>
        <v/>
      </c>
      <c r="I18" s="32" t="str">
        <f t="shared" si="2"/>
        <v/>
      </c>
      <c r="J18" s="12" t="str">
        <f t="shared" si="3"/>
        <v/>
      </c>
    </row>
    <row r="19" spans="2:15" x14ac:dyDescent="0.2">
      <c r="B19" s="34" t="str">
        <f>IF(C19&lt;&gt;"",_xlfn.AGGREGATE(3,3,$C$12:C19),"")</f>
        <v/>
      </c>
      <c r="C19" s="30"/>
      <c r="D19" s="30"/>
      <c r="E19" s="30"/>
      <c r="F19" s="31"/>
      <c r="G19" s="33" t="str">
        <f t="shared" si="0"/>
        <v/>
      </c>
      <c r="H19" s="12" t="str">
        <f t="shared" si="1"/>
        <v/>
      </c>
      <c r="I19" s="32" t="str">
        <f t="shared" si="2"/>
        <v/>
      </c>
      <c r="J19" s="12" t="str">
        <f t="shared" si="3"/>
        <v/>
      </c>
    </row>
    <row r="20" spans="2:15" x14ac:dyDescent="0.2">
      <c r="B20" s="34" t="str">
        <f>IF(C20&lt;&gt;"",_xlfn.AGGREGATE(3,3,$C$12:C20),"")</f>
        <v/>
      </c>
      <c r="C20" s="30"/>
      <c r="D20" s="30"/>
      <c r="E20" s="30"/>
      <c r="F20" s="31"/>
      <c r="G20" s="33" t="str">
        <f t="shared" si="0"/>
        <v/>
      </c>
      <c r="H20" s="12" t="str">
        <f t="shared" si="1"/>
        <v/>
      </c>
      <c r="I20" s="32" t="str">
        <f t="shared" si="2"/>
        <v/>
      </c>
      <c r="J20" s="12" t="str">
        <f t="shared" si="3"/>
        <v/>
      </c>
    </row>
    <row r="21" spans="2:15" x14ac:dyDescent="0.2">
      <c r="B21" s="34" t="str">
        <f>IF(C21&lt;&gt;"",_xlfn.AGGREGATE(3,3,$C$12:C21),"")</f>
        <v/>
      </c>
      <c r="C21" s="30"/>
      <c r="D21" s="30"/>
      <c r="E21" s="30"/>
      <c r="F21" s="31"/>
      <c r="G21" s="33" t="str">
        <f t="shared" si="0"/>
        <v/>
      </c>
      <c r="H21" s="12" t="str">
        <f t="shared" si="1"/>
        <v/>
      </c>
      <c r="I21" s="32" t="str">
        <f t="shared" si="2"/>
        <v/>
      </c>
      <c r="J21" s="12" t="str">
        <f t="shared" si="3"/>
        <v/>
      </c>
      <c r="O21" s="37"/>
    </row>
    <row r="22" spans="2:15" x14ac:dyDescent="0.2">
      <c r="B22" s="34" t="str">
        <f>IF(C22&lt;&gt;"",_xlfn.AGGREGATE(3,3,$C$12:C22),"")</f>
        <v/>
      </c>
      <c r="C22" s="30"/>
      <c r="D22" s="30"/>
      <c r="E22" s="30"/>
      <c r="F22" s="31"/>
      <c r="G22" s="33" t="str">
        <f t="shared" si="0"/>
        <v/>
      </c>
      <c r="H22" s="12" t="str">
        <f t="shared" si="1"/>
        <v/>
      </c>
      <c r="I22" s="32" t="str">
        <f t="shared" si="2"/>
        <v/>
      </c>
      <c r="J22" s="12" t="str">
        <f t="shared" si="3"/>
        <v/>
      </c>
    </row>
    <row r="23" spans="2:15" x14ac:dyDescent="0.2">
      <c r="B23" s="34" t="str">
        <f>IF(C23&lt;&gt;"",_xlfn.AGGREGATE(3,3,$C$12:C23),"")</f>
        <v/>
      </c>
      <c r="C23" s="30"/>
      <c r="D23" s="30"/>
      <c r="E23" s="30"/>
      <c r="F23" s="31"/>
      <c r="G23" s="33" t="str">
        <f t="shared" si="0"/>
        <v/>
      </c>
      <c r="H23" s="12" t="str">
        <f t="shared" si="1"/>
        <v/>
      </c>
      <c r="I23" s="32" t="str">
        <f t="shared" si="2"/>
        <v/>
      </c>
      <c r="J23" s="12" t="str">
        <f t="shared" si="3"/>
        <v/>
      </c>
    </row>
    <row r="24" spans="2:15" x14ac:dyDescent="0.2">
      <c r="B24" s="34" t="str">
        <f>IF(C24&lt;&gt;"",_xlfn.AGGREGATE(3,3,$C$12:C24),"")</f>
        <v/>
      </c>
      <c r="C24" s="30"/>
      <c r="D24" s="30"/>
      <c r="E24" s="30"/>
      <c r="F24" s="31"/>
      <c r="G24" s="33" t="str">
        <f t="shared" si="0"/>
        <v/>
      </c>
      <c r="H24" s="12" t="str">
        <f t="shared" si="1"/>
        <v/>
      </c>
      <c r="I24" s="32" t="str">
        <f t="shared" si="2"/>
        <v/>
      </c>
      <c r="J24" s="12" t="str">
        <f t="shared" si="3"/>
        <v/>
      </c>
    </row>
    <row r="25" spans="2:15" x14ac:dyDescent="0.2">
      <c r="B25" s="34" t="str">
        <f>IF(C25&lt;&gt;"",_xlfn.AGGREGATE(3,3,$C$12:C25),"")</f>
        <v/>
      </c>
      <c r="C25" s="30"/>
      <c r="D25" s="30"/>
      <c r="E25" s="30"/>
      <c r="F25" s="31"/>
      <c r="G25" s="33" t="str">
        <f t="shared" si="0"/>
        <v/>
      </c>
      <c r="H25" s="12" t="str">
        <f t="shared" si="1"/>
        <v/>
      </c>
      <c r="I25" s="32" t="str">
        <f t="shared" si="2"/>
        <v/>
      </c>
      <c r="J25" s="12" t="str">
        <f t="shared" si="3"/>
        <v/>
      </c>
    </row>
    <row r="26" spans="2:15" x14ac:dyDescent="0.2">
      <c r="B26" s="34" t="str">
        <f>IF(C26&lt;&gt;"",_xlfn.AGGREGATE(3,3,$C$12:C26),"")</f>
        <v/>
      </c>
      <c r="C26" s="30"/>
      <c r="D26" s="30"/>
      <c r="E26" s="30"/>
      <c r="F26" s="31"/>
      <c r="G26" s="33" t="str">
        <f t="shared" si="0"/>
        <v/>
      </c>
      <c r="H26" s="12" t="str">
        <f t="shared" si="1"/>
        <v/>
      </c>
      <c r="I26" s="32" t="str">
        <f t="shared" si="2"/>
        <v/>
      </c>
      <c r="J26" s="12" t="str">
        <f t="shared" si="3"/>
        <v/>
      </c>
    </row>
    <row r="27" spans="2:15" x14ac:dyDescent="0.2">
      <c r="B27" s="34" t="str">
        <f>IF(C27&lt;&gt;"",_xlfn.AGGREGATE(3,3,$C$12:C27),"")</f>
        <v/>
      </c>
      <c r="C27" s="30"/>
      <c r="D27" s="30"/>
      <c r="E27" s="30"/>
      <c r="F27" s="31"/>
      <c r="G27" s="33" t="str">
        <f t="shared" si="0"/>
        <v/>
      </c>
      <c r="H27" s="12" t="str">
        <f t="shared" si="1"/>
        <v/>
      </c>
      <c r="I27" s="32" t="str">
        <f t="shared" si="2"/>
        <v/>
      </c>
      <c r="J27" s="12" t="str">
        <f t="shared" si="3"/>
        <v/>
      </c>
    </row>
    <row r="28" spans="2:15" x14ac:dyDescent="0.2">
      <c r="B28" s="34" t="str">
        <f>IF(C28&lt;&gt;"",_xlfn.AGGREGATE(3,3,$C$12:C28),"")</f>
        <v/>
      </c>
      <c r="C28" s="30"/>
      <c r="D28" s="30"/>
      <c r="E28" s="30"/>
      <c r="F28" s="31"/>
      <c r="G28" s="33" t="str">
        <f t="shared" si="0"/>
        <v/>
      </c>
      <c r="H28" s="12" t="str">
        <f t="shared" si="1"/>
        <v/>
      </c>
      <c r="I28" s="32" t="str">
        <f t="shared" si="2"/>
        <v/>
      </c>
      <c r="J28" s="12" t="str">
        <f t="shared" si="3"/>
        <v/>
      </c>
    </row>
    <row r="29" spans="2:15" x14ac:dyDescent="0.2">
      <c r="B29" s="34" t="str">
        <f>IF(C29&lt;&gt;"",_xlfn.AGGREGATE(3,3,$C$12:C29),"")</f>
        <v/>
      </c>
      <c r="C29" s="30"/>
      <c r="D29" s="30"/>
      <c r="E29" s="30"/>
      <c r="F29" s="31"/>
      <c r="G29" s="33" t="str">
        <f t="shared" si="0"/>
        <v/>
      </c>
      <c r="H29" s="12" t="str">
        <f t="shared" si="1"/>
        <v/>
      </c>
      <c r="I29" s="32" t="str">
        <f t="shared" si="2"/>
        <v/>
      </c>
      <c r="J29" s="12" t="str">
        <f t="shared" si="3"/>
        <v/>
      </c>
    </row>
    <row r="30" spans="2:15" x14ac:dyDescent="0.2">
      <c r="B30" s="34" t="str">
        <f>IF(C30&lt;&gt;"",_xlfn.AGGREGATE(3,3,$C$12:C30),"")</f>
        <v/>
      </c>
      <c r="C30" s="30"/>
      <c r="D30" s="30"/>
      <c r="E30" s="30"/>
      <c r="F30" s="31"/>
      <c r="G30" s="33" t="str">
        <f t="shared" si="0"/>
        <v/>
      </c>
      <c r="H30" s="12" t="str">
        <f t="shared" si="1"/>
        <v/>
      </c>
      <c r="I30" s="32" t="str">
        <f t="shared" si="2"/>
        <v/>
      </c>
      <c r="J30" s="12" t="str">
        <f t="shared" si="3"/>
        <v/>
      </c>
    </row>
    <row r="31" spans="2:15" x14ac:dyDescent="0.2">
      <c r="B31" s="34" t="str">
        <f>IF(C31&lt;&gt;"",_xlfn.AGGREGATE(3,3,$C$12:C31),"")</f>
        <v/>
      </c>
      <c r="C31" s="30"/>
      <c r="D31" s="30"/>
      <c r="E31" s="30"/>
      <c r="F31" s="31"/>
      <c r="G31" s="33" t="str">
        <f t="shared" si="0"/>
        <v/>
      </c>
      <c r="H31" s="12" t="str">
        <f t="shared" si="1"/>
        <v/>
      </c>
      <c r="I31" s="32" t="str">
        <f t="shared" si="2"/>
        <v/>
      </c>
      <c r="J31" s="12" t="str">
        <f t="shared" si="3"/>
        <v/>
      </c>
    </row>
    <row r="32" spans="2:15" x14ac:dyDescent="0.2">
      <c r="B32" s="34" t="str">
        <f>IF(C32&lt;&gt;"",_xlfn.AGGREGATE(3,3,$C$12:C32),"")</f>
        <v/>
      </c>
      <c r="C32" s="30"/>
      <c r="D32" s="30"/>
      <c r="E32" s="30"/>
      <c r="F32" s="31"/>
      <c r="G32" s="33" t="str">
        <f t="shared" si="0"/>
        <v/>
      </c>
      <c r="H32" s="12" t="str">
        <f t="shared" si="1"/>
        <v/>
      </c>
      <c r="I32" s="32" t="str">
        <f t="shared" si="2"/>
        <v/>
      </c>
      <c r="J32" s="12" t="str">
        <f t="shared" si="3"/>
        <v/>
      </c>
    </row>
    <row r="33" spans="2:10" x14ac:dyDescent="0.2">
      <c r="B33" s="34" t="str">
        <f>IF(C33&lt;&gt;"",_xlfn.AGGREGATE(3,3,$C$12:C33),"")</f>
        <v/>
      </c>
      <c r="C33" s="30"/>
      <c r="D33" s="30"/>
      <c r="E33" s="30"/>
      <c r="F33" s="31"/>
      <c r="G33" s="33" t="str">
        <f t="shared" si="0"/>
        <v/>
      </c>
      <c r="H33" s="12" t="str">
        <f t="shared" si="1"/>
        <v/>
      </c>
      <c r="I33" s="32" t="str">
        <f t="shared" si="2"/>
        <v/>
      </c>
      <c r="J33" s="12" t="str">
        <f t="shared" si="3"/>
        <v/>
      </c>
    </row>
    <row r="34" spans="2:10" x14ac:dyDescent="0.2">
      <c r="B34" s="34" t="str">
        <f>IF(C34&lt;&gt;"",_xlfn.AGGREGATE(3,3,$C$12:C34),"")</f>
        <v/>
      </c>
      <c r="C34" s="30"/>
      <c r="D34" s="30"/>
      <c r="E34" s="30"/>
      <c r="F34" s="31"/>
      <c r="G34" s="33" t="str">
        <f t="shared" si="0"/>
        <v/>
      </c>
      <c r="H34" s="12" t="str">
        <f t="shared" si="1"/>
        <v/>
      </c>
      <c r="I34" s="32" t="str">
        <f t="shared" si="2"/>
        <v/>
      </c>
      <c r="J34" s="12" t="str">
        <f t="shared" si="3"/>
        <v/>
      </c>
    </row>
    <row r="35" spans="2:10" x14ac:dyDescent="0.2">
      <c r="B35" s="34" t="str">
        <f>IF(C35&lt;&gt;"",_xlfn.AGGREGATE(3,3,$C$12:C35),"")</f>
        <v/>
      </c>
      <c r="C35" s="30"/>
      <c r="D35" s="30"/>
      <c r="E35" s="30"/>
      <c r="F35" s="31"/>
      <c r="G35" s="33" t="str">
        <f t="shared" si="0"/>
        <v/>
      </c>
      <c r="H35" s="12" t="str">
        <f t="shared" si="1"/>
        <v/>
      </c>
      <c r="I35" s="32" t="str">
        <f t="shared" si="2"/>
        <v/>
      </c>
      <c r="J35" s="12" t="str">
        <f t="shared" si="3"/>
        <v/>
      </c>
    </row>
    <row r="36" spans="2:10" x14ac:dyDescent="0.2">
      <c r="B36" s="34" t="str">
        <f>IF(C36&lt;&gt;"",_xlfn.AGGREGATE(3,3,$C$12:C36),"")</f>
        <v/>
      </c>
      <c r="C36" s="30"/>
      <c r="D36" s="30"/>
      <c r="E36" s="30"/>
      <c r="F36" s="31"/>
      <c r="G36" s="33" t="str">
        <f t="shared" si="0"/>
        <v/>
      </c>
      <c r="H36" s="12" t="str">
        <f t="shared" si="1"/>
        <v/>
      </c>
      <c r="I36" s="32" t="str">
        <f t="shared" si="2"/>
        <v/>
      </c>
      <c r="J36" s="12" t="str">
        <f t="shared" si="3"/>
        <v/>
      </c>
    </row>
    <row r="37" spans="2:10" x14ac:dyDescent="0.2">
      <c r="B37" s="34" t="str">
        <f>IF(C37&lt;&gt;"",_xlfn.AGGREGATE(3,3,$C$12:C37),"")</f>
        <v/>
      </c>
      <c r="C37" s="30"/>
      <c r="D37" s="30"/>
      <c r="E37" s="30"/>
      <c r="F37" s="31"/>
      <c r="G37" s="33" t="str">
        <f t="shared" si="0"/>
        <v/>
      </c>
      <c r="H37" s="12" t="str">
        <f t="shared" si="1"/>
        <v/>
      </c>
      <c r="I37" s="32" t="str">
        <f t="shared" si="2"/>
        <v/>
      </c>
      <c r="J37" s="12" t="str">
        <f t="shared" si="3"/>
        <v/>
      </c>
    </row>
    <row r="38" spans="2:10" x14ac:dyDescent="0.2">
      <c r="B38" s="34" t="str">
        <f>IF(C38&lt;&gt;"",_xlfn.AGGREGATE(3,3,$C$12:C38),"")</f>
        <v/>
      </c>
      <c r="C38" s="30"/>
      <c r="D38" s="30"/>
      <c r="E38" s="30"/>
      <c r="F38" s="31"/>
      <c r="G38" s="33" t="str">
        <f t="shared" si="0"/>
        <v/>
      </c>
      <c r="H38" s="12" t="str">
        <f t="shared" si="1"/>
        <v/>
      </c>
      <c r="I38" s="32" t="str">
        <f t="shared" si="2"/>
        <v/>
      </c>
      <c r="J38" s="12" t="str">
        <f t="shared" si="3"/>
        <v/>
      </c>
    </row>
    <row r="39" spans="2:10" x14ac:dyDescent="0.2">
      <c r="B39" s="34" t="str">
        <f>IF(C39&lt;&gt;"",_xlfn.AGGREGATE(3,3,$C$12:C39),"")</f>
        <v/>
      </c>
      <c r="C39" s="30"/>
      <c r="D39" s="30"/>
      <c r="E39" s="30"/>
      <c r="F39" s="31"/>
      <c r="G39" s="33" t="str">
        <f t="shared" si="0"/>
        <v/>
      </c>
      <c r="H39" s="12" t="str">
        <f t="shared" si="1"/>
        <v/>
      </c>
      <c r="I39" s="32" t="str">
        <f t="shared" si="2"/>
        <v/>
      </c>
      <c r="J39" s="12" t="str">
        <f t="shared" si="3"/>
        <v/>
      </c>
    </row>
    <row r="40" spans="2:10" x14ac:dyDescent="0.2">
      <c r="B40" s="34" t="str">
        <f>IF(C40&lt;&gt;"",_xlfn.AGGREGATE(3,3,$C$12:C40),"")</f>
        <v/>
      </c>
      <c r="C40" s="30"/>
      <c r="D40" s="30"/>
      <c r="E40" s="30"/>
      <c r="F40" s="31"/>
      <c r="G40" s="33" t="str">
        <f t="shared" si="0"/>
        <v/>
      </c>
      <c r="H40" s="12" t="str">
        <f t="shared" si="1"/>
        <v/>
      </c>
      <c r="I40" s="32" t="str">
        <f t="shared" si="2"/>
        <v/>
      </c>
      <c r="J40" s="12" t="str">
        <f t="shared" si="3"/>
        <v/>
      </c>
    </row>
    <row r="41" spans="2:10" x14ac:dyDescent="0.2">
      <c r="B41" s="34" t="str">
        <f>IF(C41&lt;&gt;"",_xlfn.AGGREGATE(3,3,$C$12:C41),"")</f>
        <v/>
      </c>
      <c r="C41" s="30"/>
      <c r="D41" s="30"/>
      <c r="E41" s="30"/>
      <c r="F41" s="31"/>
      <c r="G41" s="33" t="str">
        <f t="shared" si="0"/>
        <v/>
      </c>
      <c r="H41" s="12" t="str">
        <f t="shared" si="1"/>
        <v/>
      </c>
      <c r="I41" s="32" t="str">
        <f t="shared" si="2"/>
        <v/>
      </c>
      <c r="J41" s="12" t="str">
        <f t="shared" si="3"/>
        <v/>
      </c>
    </row>
    <row r="42" spans="2:10" x14ac:dyDescent="0.2">
      <c r="B42" s="34" t="str">
        <f>IF(C42&lt;&gt;"",_xlfn.AGGREGATE(3,3,$C$12:C42),"")</f>
        <v/>
      </c>
      <c r="C42" s="30"/>
      <c r="D42" s="30"/>
      <c r="E42" s="30"/>
      <c r="F42" s="31"/>
      <c r="G42" s="33" t="str">
        <f t="shared" si="0"/>
        <v/>
      </c>
      <c r="H42" s="12" t="str">
        <f t="shared" si="1"/>
        <v/>
      </c>
      <c r="I42" s="32" t="str">
        <f t="shared" si="2"/>
        <v/>
      </c>
      <c r="J42" s="12" t="str">
        <f t="shared" si="3"/>
        <v/>
      </c>
    </row>
    <row r="43" spans="2:10" x14ac:dyDescent="0.2">
      <c r="B43" s="34" t="str">
        <f>IF(C43&lt;&gt;"",_xlfn.AGGREGATE(3,3,$C$12:C43),"")</f>
        <v/>
      </c>
      <c r="C43" s="30"/>
      <c r="D43" s="30"/>
      <c r="E43" s="30"/>
      <c r="F43" s="31"/>
      <c r="G43" s="33" t="str">
        <f t="shared" si="0"/>
        <v/>
      </c>
      <c r="H43" s="12" t="str">
        <f t="shared" si="1"/>
        <v/>
      </c>
      <c r="I43" s="32" t="str">
        <f t="shared" si="2"/>
        <v/>
      </c>
      <c r="J43" s="12" t="str">
        <f t="shared" si="3"/>
        <v/>
      </c>
    </row>
    <row r="44" spans="2:10" x14ac:dyDescent="0.2">
      <c r="B44" s="34" t="str">
        <f>IF(C44&lt;&gt;"",_xlfn.AGGREGATE(3,3,$C$12:C44),"")</f>
        <v/>
      </c>
      <c r="C44" s="30"/>
      <c r="D44" s="30"/>
      <c r="E44" s="30"/>
      <c r="F44" s="31"/>
      <c r="G44" s="33" t="str">
        <f t="shared" si="0"/>
        <v/>
      </c>
      <c r="H44" s="12" t="str">
        <f t="shared" si="1"/>
        <v/>
      </c>
      <c r="I44" s="32" t="str">
        <f t="shared" si="2"/>
        <v/>
      </c>
      <c r="J44" s="12" t="str">
        <f t="shared" si="3"/>
        <v/>
      </c>
    </row>
    <row r="45" spans="2:10" x14ac:dyDescent="0.2">
      <c r="B45" s="34" t="str">
        <f>IF(C45&lt;&gt;"",_xlfn.AGGREGATE(3,3,$C$12:C45),"")</f>
        <v/>
      </c>
      <c r="C45" s="30"/>
      <c r="D45" s="30"/>
      <c r="E45" s="30"/>
      <c r="F45" s="31"/>
      <c r="G45" s="33" t="str">
        <f t="shared" si="0"/>
        <v/>
      </c>
      <c r="H45" s="12" t="str">
        <f t="shared" si="1"/>
        <v/>
      </c>
      <c r="I45" s="32" t="str">
        <f t="shared" si="2"/>
        <v/>
      </c>
      <c r="J45" s="12" t="str">
        <f t="shared" si="3"/>
        <v/>
      </c>
    </row>
    <row r="46" spans="2:10" x14ac:dyDescent="0.2">
      <c r="B46" s="34" t="str">
        <f>IF(C46&lt;&gt;"",_xlfn.AGGREGATE(3,3,$C$12:C46),"")</f>
        <v/>
      </c>
      <c r="C46" s="30"/>
      <c r="D46" s="30"/>
      <c r="E46" s="30"/>
      <c r="F46" s="31"/>
      <c r="G46" s="33" t="str">
        <f t="shared" si="0"/>
        <v/>
      </c>
      <c r="H46" s="12" t="str">
        <f t="shared" si="1"/>
        <v/>
      </c>
      <c r="I46" s="32" t="str">
        <f t="shared" si="2"/>
        <v/>
      </c>
      <c r="J46" s="12" t="str">
        <f t="shared" si="3"/>
        <v/>
      </c>
    </row>
    <row r="47" spans="2:10" x14ac:dyDescent="0.2">
      <c r="B47" s="34" t="str">
        <f>IF(C47&lt;&gt;"",_xlfn.AGGREGATE(3,3,$C$12:C47),"")</f>
        <v/>
      </c>
      <c r="C47" s="30"/>
      <c r="D47" s="30"/>
      <c r="E47" s="30"/>
      <c r="F47" s="31"/>
      <c r="G47" s="33" t="str">
        <f t="shared" si="0"/>
        <v/>
      </c>
      <c r="H47" s="12" t="str">
        <f t="shared" si="1"/>
        <v/>
      </c>
      <c r="I47" s="32" t="str">
        <f t="shared" si="2"/>
        <v/>
      </c>
      <c r="J47" s="12" t="str">
        <f t="shared" si="3"/>
        <v/>
      </c>
    </row>
    <row r="48" spans="2:10" x14ac:dyDescent="0.2">
      <c r="B48" s="34" t="str">
        <f>IF(C48&lt;&gt;"",_xlfn.AGGREGATE(3,3,$C$12:C48),"")</f>
        <v/>
      </c>
      <c r="C48" s="30"/>
      <c r="D48" s="30"/>
      <c r="E48" s="30"/>
      <c r="F48" s="31"/>
      <c r="G48" s="33" t="str">
        <f t="shared" si="0"/>
        <v/>
      </c>
      <c r="H48" s="12" t="str">
        <f t="shared" si="1"/>
        <v/>
      </c>
      <c r="I48" s="32" t="str">
        <f t="shared" si="2"/>
        <v/>
      </c>
      <c r="J48" s="12" t="str">
        <f t="shared" si="3"/>
        <v/>
      </c>
    </row>
    <row r="49" spans="2:10" x14ac:dyDescent="0.2">
      <c r="B49" s="34" t="str">
        <f>IF(C49&lt;&gt;"",_xlfn.AGGREGATE(3,3,$C$12:C49),"")</f>
        <v/>
      </c>
      <c r="C49" s="30"/>
      <c r="D49" s="30"/>
      <c r="E49" s="30"/>
      <c r="F49" s="31"/>
      <c r="G49" s="33" t="str">
        <f t="shared" si="0"/>
        <v/>
      </c>
      <c r="H49" s="12" t="str">
        <f t="shared" si="1"/>
        <v/>
      </c>
      <c r="I49" s="32" t="str">
        <f t="shared" si="2"/>
        <v/>
      </c>
      <c r="J49" s="12" t="str">
        <f t="shared" si="3"/>
        <v/>
      </c>
    </row>
    <row r="50" spans="2:10" x14ac:dyDescent="0.2">
      <c r="B50" s="34" t="str">
        <f>IF(C50&lt;&gt;"",_xlfn.AGGREGATE(3,3,$C$12:C50),"")</f>
        <v/>
      </c>
      <c r="C50" s="30"/>
      <c r="D50" s="30"/>
      <c r="E50" s="30"/>
      <c r="F50" s="31"/>
      <c r="G50" s="33" t="str">
        <f t="shared" si="0"/>
        <v/>
      </c>
      <c r="H50" s="12" t="str">
        <f t="shared" si="1"/>
        <v/>
      </c>
      <c r="I50" s="32" t="str">
        <f t="shared" si="2"/>
        <v/>
      </c>
      <c r="J50" s="12" t="str">
        <f t="shared" si="3"/>
        <v/>
      </c>
    </row>
    <row r="51" spans="2:10" x14ac:dyDescent="0.2">
      <c r="B51" s="34" t="str">
        <f>IF(C51&lt;&gt;"",_xlfn.AGGREGATE(3,3,$C$12:C51),"")</f>
        <v/>
      </c>
      <c r="C51" s="30"/>
      <c r="D51" s="30"/>
      <c r="E51" s="30"/>
      <c r="F51" s="31"/>
      <c r="G51" s="33" t="str">
        <f>IF(C51&lt;&gt;"",E51*F51,"")</f>
        <v/>
      </c>
      <c r="H51" s="12" t="str">
        <f t="shared" si="1"/>
        <v/>
      </c>
      <c r="I51" s="32" t="str">
        <f t="shared" si="2"/>
        <v/>
      </c>
      <c r="J51" s="12" t="str">
        <f t="shared" si="3"/>
        <v/>
      </c>
    </row>
  </sheetData>
  <sheetProtection algorithmName="SHA-512" hashValue="E3/jiyhNCcfvs7qVe94IZK83twGUUaAcL98DYDVCD5MqZDxi9RP0/J4dSIFQdTL0XfzI6TIXL4G175Zu+KvLGA==" saltValue="YNYSelPwdz/TND7/Mw9u2g==" spinCount="100000" sheet="1" objects="1" scenarios="1"/>
  <dataValidations count="3">
    <dataValidation type="list" allowBlank="1" showInputMessage="1" showErrorMessage="1" sqref="C7" xr:uid="{00000000-0002-0000-0000-000000000000}">
      <formula1>"Tax,Offer price,Tax exemption"</formula1>
    </dataValidation>
    <dataValidation type="list" allowBlank="1" showInputMessage="1" showErrorMessage="1" sqref="C4" xr:uid="{00000000-0002-0000-0000-000001000000}">
      <formula1>Vendor_Name</formula1>
    </dataValidation>
    <dataValidation type="list" allowBlank="1" showInputMessage="1" showErrorMessage="1" sqref="C6" xr:uid="{00000000-0002-0000-0000-000002000000}">
      <formula1>Sales_Class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2"/>
  <sheetViews>
    <sheetView zoomScale="90" zoomScaleNormal="90" workbookViewId="0">
      <selection activeCell="H13" sqref="H13"/>
    </sheetView>
  </sheetViews>
  <sheetFormatPr defaultColWidth="9" defaultRowHeight="14.25" x14ac:dyDescent="0.2"/>
  <cols>
    <col min="1" max="1" width="16.625" style="2" bestFit="1" customWidth="1"/>
    <col min="2" max="2" width="13.375" style="4" bestFit="1" customWidth="1"/>
    <col min="3" max="3" width="26" style="1" bestFit="1" customWidth="1"/>
    <col min="4" max="4" width="22.875" style="1" customWidth="1"/>
    <col min="5" max="5" width="27.25" style="1" bestFit="1" customWidth="1"/>
    <col min="6" max="6" width="16.75" style="1" bestFit="1" customWidth="1"/>
    <col min="7" max="7" width="15" style="1" bestFit="1" customWidth="1"/>
    <col min="8" max="8" width="13.875" bestFit="1" customWidth="1"/>
    <col min="9" max="9" width="13.875" customWidth="1"/>
    <col min="10" max="11" width="14.75" style="1" bestFit="1" customWidth="1"/>
    <col min="12" max="12" width="12.125" style="1" bestFit="1" customWidth="1"/>
    <col min="13" max="13" width="14.75" style="1" bestFit="1" customWidth="1"/>
    <col min="14" max="14" width="24.125" style="1" customWidth="1"/>
    <col min="15" max="16384" width="9" style="1"/>
  </cols>
  <sheetData>
    <row r="1" spans="1:15" s="3" customFormat="1" ht="21.75" customHeight="1" x14ac:dyDescent="0.2">
      <c r="A1" s="5" t="s">
        <v>11</v>
      </c>
      <c r="B1" s="6" t="s">
        <v>0</v>
      </c>
      <c r="C1" s="5" t="s">
        <v>23</v>
      </c>
      <c r="D1" s="5" t="s">
        <v>18</v>
      </c>
      <c r="E1" s="5" t="s">
        <v>24</v>
      </c>
      <c r="F1" s="5" t="s">
        <v>1</v>
      </c>
      <c r="G1" s="5" t="s">
        <v>2</v>
      </c>
      <c r="H1" s="5" t="s">
        <v>4</v>
      </c>
      <c r="I1" s="5" t="s">
        <v>22</v>
      </c>
      <c r="J1" s="5" t="s">
        <v>5</v>
      </c>
      <c r="K1" s="7"/>
      <c r="L1" s="7"/>
      <c r="M1" s="7"/>
      <c r="N1" s="7"/>
      <c r="O1" s="7"/>
    </row>
    <row r="2" spans="1:15" x14ac:dyDescent="0.2">
      <c r="A2" s="2">
        <v>0</v>
      </c>
      <c r="B2" s="4">
        <v>0</v>
      </c>
      <c r="C2" s="1">
        <v>0</v>
      </c>
      <c r="D2" s="42">
        <v>0</v>
      </c>
      <c r="E2" s="1">
        <v>0</v>
      </c>
      <c r="F2" s="1">
        <v>0</v>
      </c>
      <c r="G2" s="8">
        <v>0</v>
      </c>
      <c r="H2" s="8">
        <v>0</v>
      </c>
      <c r="I2" s="8">
        <v>0</v>
      </c>
      <c r="J2" s="8">
        <v>0</v>
      </c>
      <c r="L2" s="8"/>
      <c r="M2" s="3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459"/>
  <sheetViews>
    <sheetView showGridLines="0" workbookViewId="0">
      <pane ySplit="1" topLeftCell="A2" activePane="bottomLeft" state="frozen"/>
      <selection pane="bottomLeft" activeCell="B27" sqref="B27"/>
    </sheetView>
  </sheetViews>
  <sheetFormatPr defaultColWidth="9.125" defaultRowHeight="14.25" x14ac:dyDescent="0.2"/>
  <cols>
    <col min="1" max="1" width="60.625" style="1" bestFit="1" customWidth="1"/>
    <col min="2" max="2" width="10.5" style="1" customWidth="1"/>
    <col min="3" max="3" width="11.875" style="1" customWidth="1"/>
    <col min="4" max="4" width="16.25" style="8" customWidth="1"/>
    <col min="5" max="5" width="13.25" style="8" bestFit="1" customWidth="1"/>
    <col min="6" max="6" width="13.375" style="1" bestFit="1" customWidth="1"/>
    <col min="7" max="7" width="16.625" style="2" bestFit="1" customWidth="1"/>
    <col min="8" max="8" width="28.375" style="1" customWidth="1"/>
    <col min="9" max="9" width="9" customWidth="1"/>
    <col min="10" max="16384" width="9.125" style="1"/>
  </cols>
  <sheetData>
    <row r="1" spans="1:8" s="3" customFormat="1" ht="21.75" customHeight="1" x14ac:dyDescent="0.2">
      <c r="A1" s="9" t="s">
        <v>6</v>
      </c>
      <c r="B1" s="9" t="s">
        <v>8</v>
      </c>
      <c r="C1" s="9" t="s">
        <v>7</v>
      </c>
      <c r="D1" s="44" t="s">
        <v>9</v>
      </c>
      <c r="E1" s="44" t="s">
        <v>10</v>
      </c>
      <c r="F1" s="9" t="s">
        <v>0</v>
      </c>
      <c r="G1" s="10" t="s">
        <v>11</v>
      </c>
      <c r="H1" s="9" t="s">
        <v>23</v>
      </c>
    </row>
    <row r="2" spans="1:8" x14ac:dyDescent="0.2">
      <c r="A2" s="1">
        <v>0</v>
      </c>
      <c r="B2" s="1">
        <v>0</v>
      </c>
      <c r="C2" s="1">
        <v>0</v>
      </c>
      <c r="D2" s="8">
        <v>0</v>
      </c>
      <c r="E2" s="8">
        <v>0</v>
      </c>
      <c r="F2" s="1">
        <v>0</v>
      </c>
      <c r="G2" s="1">
        <v>0</v>
      </c>
      <c r="H2" s="4">
        <v>0</v>
      </c>
    </row>
    <row r="3" spans="1:8" x14ac:dyDescent="0.2">
      <c r="E3" s="8" t="s">
        <v>17</v>
      </c>
      <c r="F3" s="1" t="s">
        <v>17</v>
      </c>
      <c r="G3" s="2" t="s">
        <v>17</v>
      </c>
      <c r="H3" s="1" t="s">
        <v>17</v>
      </c>
    </row>
    <row r="4" spans="1:8" x14ac:dyDescent="0.2">
      <c r="E4" s="8" t="s">
        <v>17</v>
      </c>
      <c r="F4" s="1" t="s">
        <v>17</v>
      </c>
      <c r="G4" s="2" t="s">
        <v>17</v>
      </c>
      <c r="H4" s="1" t="s">
        <v>17</v>
      </c>
    </row>
    <row r="5" spans="1:8" x14ac:dyDescent="0.2">
      <c r="E5" s="8" t="s">
        <v>17</v>
      </c>
      <c r="F5" s="1" t="s">
        <v>17</v>
      </c>
      <c r="G5" s="2" t="s">
        <v>17</v>
      </c>
      <c r="H5" s="1" t="s">
        <v>17</v>
      </c>
    </row>
    <row r="6" spans="1:8" x14ac:dyDescent="0.2">
      <c r="E6" s="8" t="s">
        <v>17</v>
      </c>
      <c r="F6" s="1" t="s">
        <v>17</v>
      </c>
      <c r="G6" s="2" t="s">
        <v>17</v>
      </c>
      <c r="H6" s="1" t="s">
        <v>17</v>
      </c>
    </row>
    <row r="7" spans="1:8" x14ac:dyDescent="0.2">
      <c r="E7" s="8" t="s">
        <v>17</v>
      </c>
      <c r="F7" s="1" t="s">
        <v>17</v>
      </c>
      <c r="G7" s="2" t="s">
        <v>17</v>
      </c>
      <c r="H7" s="1" t="s">
        <v>17</v>
      </c>
    </row>
    <row r="8" spans="1:8" x14ac:dyDescent="0.2">
      <c r="E8" s="8" t="s">
        <v>17</v>
      </c>
      <c r="F8" s="1" t="s">
        <v>17</v>
      </c>
      <c r="G8" s="2" t="s">
        <v>17</v>
      </c>
      <c r="H8" s="1" t="s">
        <v>17</v>
      </c>
    </row>
    <row r="9" spans="1:8" x14ac:dyDescent="0.2">
      <c r="E9" s="8" t="s">
        <v>17</v>
      </c>
      <c r="F9" s="1" t="s">
        <v>17</v>
      </c>
      <c r="G9" s="2" t="s">
        <v>17</v>
      </c>
      <c r="H9" s="1" t="s">
        <v>17</v>
      </c>
    </row>
    <row r="10" spans="1:8" x14ac:dyDescent="0.2">
      <c r="E10" s="8" t="s">
        <v>17</v>
      </c>
      <c r="F10" s="1" t="s">
        <v>17</v>
      </c>
      <c r="G10" s="2" t="s">
        <v>17</v>
      </c>
      <c r="H10" s="1" t="s">
        <v>17</v>
      </c>
    </row>
    <row r="11" spans="1:8" x14ac:dyDescent="0.2">
      <c r="E11" s="8" t="s">
        <v>17</v>
      </c>
      <c r="F11" s="1" t="s">
        <v>17</v>
      </c>
      <c r="G11" s="2" t="s">
        <v>17</v>
      </c>
      <c r="H11" s="1" t="s">
        <v>17</v>
      </c>
    </row>
    <row r="12" spans="1:8" x14ac:dyDescent="0.2">
      <c r="E12" s="8" t="s">
        <v>17</v>
      </c>
      <c r="F12" s="1" t="s">
        <v>17</v>
      </c>
      <c r="G12" s="2" t="s">
        <v>17</v>
      </c>
      <c r="H12" s="1" t="s">
        <v>17</v>
      </c>
    </row>
    <row r="13" spans="1:8" x14ac:dyDescent="0.2">
      <c r="E13" s="8" t="s">
        <v>17</v>
      </c>
      <c r="F13" s="1" t="s">
        <v>17</v>
      </c>
      <c r="G13" s="2" t="s">
        <v>17</v>
      </c>
      <c r="H13" s="1" t="s">
        <v>17</v>
      </c>
    </row>
    <row r="14" spans="1:8" x14ac:dyDescent="0.2">
      <c r="E14" s="8" t="s">
        <v>17</v>
      </c>
      <c r="F14" s="1" t="s">
        <v>17</v>
      </c>
      <c r="G14" s="2" t="s">
        <v>17</v>
      </c>
      <c r="H14" s="1" t="s">
        <v>17</v>
      </c>
    </row>
    <row r="15" spans="1:8" x14ac:dyDescent="0.2">
      <c r="E15" s="8" t="s">
        <v>17</v>
      </c>
      <c r="F15" s="1" t="s">
        <v>17</v>
      </c>
      <c r="G15" s="2" t="s">
        <v>17</v>
      </c>
      <c r="H15" s="1" t="s">
        <v>17</v>
      </c>
    </row>
    <row r="16" spans="1:8" x14ac:dyDescent="0.2">
      <c r="E16" s="8" t="s">
        <v>17</v>
      </c>
      <c r="F16" s="1" t="s">
        <v>17</v>
      </c>
      <c r="G16" s="2" t="s">
        <v>17</v>
      </c>
      <c r="H16" s="1" t="s">
        <v>17</v>
      </c>
    </row>
    <row r="17" spans="5:8" x14ac:dyDescent="0.2">
      <c r="E17" s="8" t="s">
        <v>17</v>
      </c>
      <c r="F17" s="1" t="s">
        <v>17</v>
      </c>
      <c r="G17" s="2" t="s">
        <v>17</v>
      </c>
      <c r="H17" s="1" t="s">
        <v>17</v>
      </c>
    </row>
    <row r="18" spans="5:8" x14ac:dyDescent="0.2">
      <c r="E18" s="8" t="s">
        <v>17</v>
      </c>
      <c r="F18" s="1" t="s">
        <v>17</v>
      </c>
      <c r="G18" s="2" t="s">
        <v>17</v>
      </c>
      <c r="H18" s="1" t="s">
        <v>17</v>
      </c>
    </row>
    <row r="19" spans="5:8" x14ac:dyDescent="0.2">
      <c r="E19" s="8" t="s">
        <v>17</v>
      </c>
      <c r="F19" s="1" t="s">
        <v>17</v>
      </c>
      <c r="G19" s="2" t="s">
        <v>17</v>
      </c>
      <c r="H19" s="1" t="s">
        <v>17</v>
      </c>
    </row>
    <row r="20" spans="5:8" x14ac:dyDescent="0.2">
      <c r="E20" s="8" t="s">
        <v>17</v>
      </c>
      <c r="F20" s="1" t="s">
        <v>17</v>
      </c>
      <c r="G20" s="2" t="s">
        <v>17</v>
      </c>
      <c r="H20" s="1" t="s">
        <v>17</v>
      </c>
    </row>
    <row r="21" spans="5:8" x14ac:dyDescent="0.2">
      <c r="E21" s="8" t="s">
        <v>17</v>
      </c>
      <c r="F21" s="1" t="s">
        <v>17</v>
      </c>
      <c r="G21" s="2" t="s">
        <v>17</v>
      </c>
      <c r="H21" s="1" t="s">
        <v>17</v>
      </c>
    </row>
    <row r="22" spans="5:8" x14ac:dyDescent="0.2">
      <c r="E22" s="8" t="s">
        <v>17</v>
      </c>
      <c r="F22" s="1" t="s">
        <v>17</v>
      </c>
      <c r="G22" s="2" t="s">
        <v>17</v>
      </c>
      <c r="H22" s="1" t="s">
        <v>17</v>
      </c>
    </row>
    <row r="23" spans="5:8" x14ac:dyDescent="0.2">
      <c r="E23" s="8" t="s">
        <v>17</v>
      </c>
      <c r="F23" s="1" t="s">
        <v>17</v>
      </c>
      <c r="G23" s="2" t="s">
        <v>17</v>
      </c>
      <c r="H23" s="1" t="s">
        <v>17</v>
      </c>
    </row>
    <row r="24" spans="5:8" x14ac:dyDescent="0.2">
      <c r="E24" s="8" t="s">
        <v>17</v>
      </c>
      <c r="F24" s="1" t="s">
        <v>17</v>
      </c>
      <c r="G24" s="2" t="s">
        <v>17</v>
      </c>
      <c r="H24" s="1" t="s">
        <v>17</v>
      </c>
    </row>
    <row r="25" spans="5:8" x14ac:dyDescent="0.2">
      <c r="E25" s="8" t="s">
        <v>17</v>
      </c>
      <c r="F25" s="1" t="s">
        <v>17</v>
      </c>
      <c r="G25" s="2" t="s">
        <v>17</v>
      </c>
      <c r="H25" s="1" t="s">
        <v>17</v>
      </c>
    </row>
    <row r="26" spans="5:8" x14ac:dyDescent="0.2">
      <c r="E26" s="8" t="s">
        <v>17</v>
      </c>
      <c r="F26" s="1" t="s">
        <v>17</v>
      </c>
      <c r="G26" s="2" t="s">
        <v>17</v>
      </c>
      <c r="H26" s="1" t="s">
        <v>17</v>
      </c>
    </row>
    <row r="27" spans="5:8" x14ac:dyDescent="0.2">
      <c r="E27" s="8" t="s">
        <v>17</v>
      </c>
      <c r="F27" s="1" t="s">
        <v>17</v>
      </c>
      <c r="G27" s="2" t="s">
        <v>17</v>
      </c>
      <c r="H27" s="1" t="s">
        <v>17</v>
      </c>
    </row>
    <row r="28" spans="5:8" x14ac:dyDescent="0.2">
      <c r="E28" s="8" t="s">
        <v>17</v>
      </c>
      <c r="F28" s="1" t="s">
        <v>17</v>
      </c>
      <c r="G28" s="2" t="s">
        <v>17</v>
      </c>
      <c r="H28" s="1" t="s">
        <v>17</v>
      </c>
    </row>
    <row r="29" spans="5:8" x14ac:dyDescent="0.2">
      <c r="E29" s="8" t="s">
        <v>17</v>
      </c>
      <c r="F29" s="1" t="s">
        <v>17</v>
      </c>
      <c r="G29" s="2" t="s">
        <v>17</v>
      </c>
      <c r="H29" s="1" t="s">
        <v>17</v>
      </c>
    </row>
    <row r="30" spans="5:8" x14ac:dyDescent="0.2">
      <c r="E30" s="8" t="s">
        <v>17</v>
      </c>
      <c r="F30" s="1" t="s">
        <v>17</v>
      </c>
      <c r="G30" s="2" t="s">
        <v>17</v>
      </c>
      <c r="H30" s="1" t="s">
        <v>17</v>
      </c>
    </row>
    <row r="31" spans="5:8" x14ac:dyDescent="0.2">
      <c r="E31" s="8" t="s">
        <v>17</v>
      </c>
      <c r="F31" s="1" t="s">
        <v>17</v>
      </c>
      <c r="G31" s="2" t="s">
        <v>17</v>
      </c>
      <c r="H31" s="1" t="s">
        <v>17</v>
      </c>
    </row>
    <row r="32" spans="5:8" x14ac:dyDescent="0.2">
      <c r="E32" s="8" t="s">
        <v>17</v>
      </c>
      <c r="F32" s="1" t="s">
        <v>17</v>
      </c>
      <c r="G32" s="2" t="s">
        <v>17</v>
      </c>
      <c r="H32" s="1" t="s">
        <v>17</v>
      </c>
    </row>
    <row r="33" spans="5:8" x14ac:dyDescent="0.2">
      <c r="E33" s="8" t="s">
        <v>17</v>
      </c>
      <c r="F33" s="1" t="s">
        <v>17</v>
      </c>
      <c r="G33" s="2" t="s">
        <v>17</v>
      </c>
      <c r="H33" s="1" t="s">
        <v>17</v>
      </c>
    </row>
    <row r="34" spans="5:8" x14ac:dyDescent="0.2">
      <c r="E34" s="8" t="s">
        <v>17</v>
      </c>
      <c r="F34" s="1" t="s">
        <v>17</v>
      </c>
      <c r="G34" s="2" t="s">
        <v>17</v>
      </c>
      <c r="H34" s="1" t="s">
        <v>17</v>
      </c>
    </row>
    <row r="35" spans="5:8" x14ac:dyDescent="0.2">
      <c r="E35" s="8" t="s">
        <v>17</v>
      </c>
      <c r="F35" s="1" t="s">
        <v>17</v>
      </c>
      <c r="G35" s="2" t="s">
        <v>17</v>
      </c>
      <c r="H35" s="1" t="s">
        <v>17</v>
      </c>
    </row>
    <row r="36" spans="5:8" x14ac:dyDescent="0.2">
      <c r="E36" s="8" t="s">
        <v>17</v>
      </c>
      <c r="F36" s="1" t="s">
        <v>17</v>
      </c>
      <c r="G36" s="2" t="s">
        <v>17</v>
      </c>
      <c r="H36" s="1" t="s">
        <v>17</v>
      </c>
    </row>
    <row r="37" spans="5:8" x14ac:dyDescent="0.2">
      <c r="E37" s="8" t="s">
        <v>17</v>
      </c>
      <c r="F37" s="1" t="s">
        <v>17</v>
      </c>
      <c r="G37" s="2" t="s">
        <v>17</v>
      </c>
      <c r="H37" s="1" t="s">
        <v>17</v>
      </c>
    </row>
    <row r="38" spans="5:8" x14ac:dyDescent="0.2">
      <c r="E38" s="8" t="s">
        <v>17</v>
      </c>
      <c r="F38" s="1" t="s">
        <v>17</v>
      </c>
      <c r="G38" s="2" t="s">
        <v>17</v>
      </c>
      <c r="H38" s="1" t="s">
        <v>17</v>
      </c>
    </row>
    <row r="39" spans="5:8" x14ac:dyDescent="0.2">
      <c r="E39" s="8" t="s">
        <v>17</v>
      </c>
      <c r="F39" s="1" t="s">
        <v>17</v>
      </c>
      <c r="G39" s="2" t="s">
        <v>17</v>
      </c>
      <c r="H39" s="1" t="s">
        <v>17</v>
      </c>
    </row>
    <row r="40" spans="5:8" x14ac:dyDescent="0.2">
      <c r="E40" s="8" t="s">
        <v>17</v>
      </c>
      <c r="F40" s="1" t="s">
        <v>17</v>
      </c>
      <c r="G40" s="2" t="s">
        <v>17</v>
      </c>
      <c r="H40" s="1" t="s">
        <v>17</v>
      </c>
    </row>
    <row r="41" spans="5:8" x14ac:dyDescent="0.2">
      <c r="E41" s="8" t="s">
        <v>17</v>
      </c>
      <c r="F41" s="1" t="s">
        <v>17</v>
      </c>
      <c r="G41" s="2" t="s">
        <v>17</v>
      </c>
      <c r="H41" s="1" t="s">
        <v>17</v>
      </c>
    </row>
    <row r="454" spans="5:8" x14ac:dyDescent="0.2">
      <c r="E454" s="8" t="s">
        <v>17</v>
      </c>
      <c r="F454" s="1" t="s">
        <v>17</v>
      </c>
      <c r="G454" s="2" t="s">
        <v>17</v>
      </c>
      <c r="H454" s="1" t="s">
        <v>17</v>
      </c>
    </row>
    <row r="455" spans="5:8" x14ac:dyDescent="0.2">
      <c r="E455" s="8" t="s">
        <v>17</v>
      </c>
      <c r="F455" s="1" t="s">
        <v>17</v>
      </c>
      <c r="G455" s="2" t="s">
        <v>17</v>
      </c>
      <c r="H455" s="1" t="s">
        <v>17</v>
      </c>
    </row>
    <row r="456" spans="5:8" x14ac:dyDescent="0.2">
      <c r="E456" s="8" t="s">
        <v>17</v>
      </c>
      <c r="F456" s="1" t="s">
        <v>17</v>
      </c>
      <c r="G456" s="2" t="s">
        <v>17</v>
      </c>
      <c r="H456" s="1" t="s">
        <v>17</v>
      </c>
    </row>
    <row r="457" spans="5:8" x14ac:dyDescent="0.2">
      <c r="E457" s="8" t="s">
        <v>17</v>
      </c>
      <c r="F457" s="1" t="s">
        <v>17</v>
      </c>
      <c r="G457" s="2" t="s">
        <v>17</v>
      </c>
      <c r="H457" s="1" t="s">
        <v>17</v>
      </c>
    </row>
    <row r="458" spans="5:8" x14ac:dyDescent="0.2">
      <c r="E458" s="8" t="s">
        <v>17</v>
      </c>
      <c r="F458" s="1" t="s">
        <v>17</v>
      </c>
      <c r="G458" s="2" t="s">
        <v>17</v>
      </c>
      <c r="H458" s="1" t="s">
        <v>17</v>
      </c>
    </row>
    <row r="459" spans="5:8" x14ac:dyDescent="0.2">
      <c r="E459" s="8" t="s">
        <v>17</v>
      </c>
      <c r="F459" s="1" t="s">
        <v>17</v>
      </c>
      <c r="G459" s="2" t="s">
        <v>17</v>
      </c>
      <c r="H459" s="1" t="s">
        <v>17</v>
      </c>
    </row>
  </sheetData>
  <autoFilter ref="A1:H459" xr:uid="{00000000-0009-0000-0000-000002000000}"/>
  <conditionalFormatting sqref="A2:H1048576">
    <cfRule type="notContainsBlanks" dxfId="5" priority="1">
      <formula>LEN(TRIM(A2))&gt;0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C41"/>
  <sheetViews>
    <sheetView workbookViewId="0">
      <selection activeCell="B9" sqref="B9"/>
    </sheetView>
  </sheetViews>
  <sheetFormatPr defaultColWidth="9.125" defaultRowHeight="14.25" x14ac:dyDescent="0.2"/>
  <cols>
    <col min="1" max="1" width="9.125" style="1"/>
    <col min="2" max="2" width="33" style="1" bestFit="1" customWidth="1"/>
    <col min="3" max="3" width="15.75" style="1" customWidth="1"/>
    <col min="4" max="16384" width="9.125" style="1"/>
  </cols>
  <sheetData>
    <row r="2" spans="2:3" ht="29.25" customHeight="1" x14ac:dyDescent="0.2">
      <c r="B2" s="1" t="s">
        <v>23</v>
      </c>
      <c r="C2" s="1" t="s">
        <v>18</v>
      </c>
    </row>
    <row r="3" spans="2:3" x14ac:dyDescent="0.2">
      <c r="B3" s="1" t="s">
        <v>25</v>
      </c>
      <c r="C3" s="42">
        <v>123456789</v>
      </c>
    </row>
    <row r="4" spans="2:3" x14ac:dyDescent="0.2">
      <c r="C4" s="42"/>
    </row>
    <row r="5" spans="2:3" x14ac:dyDescent="0.2">
      <c r="C5" s="42"/>
    </row>
    <row r="6" spans="2:3" x14ac:dyDescent="0.2">
      <c r="C6" s="42"/>
    </row>
    <row r="7" spans="2:3" x14ac:dyDescent="0.2">
      <c r="C7" s="42"/>
    </row>
    <row r="8" spans="2:3" x14ac:dyDescent="0.2">
      <c r="C8" s="42"/>
    </row>
    <row r="9" spans="2:3" x14ac:dyDescent="0.2">
      <c r="C9" s="42"/>
    </row>
    <row r="10" spans="2:3" x14ac:dyDescent="0.2">
      <c r="C10" s="42"/>
    </row>
    <row r="11" spans="2:3" x14ac:dyDescent="0.2">
      <c r="C11" s="42"/>
    </row>
    <row r="12" spans="2:3" x14ac:dyDescent="0.2">
      <c r="C12" s="42"/>
    </row>
    <row r="13" spans="2:3" x14ac:dyDescent="0.2">
      <c r="C13" s="42"/>
    </row>
    <row r="14" spans="2:3" x14ac:dyDescent="0.2">
      <c r="C14" s="42"/>
    </row>
    <row r="15" spans="2:3" x14ac:dyDescent="0.2">
      <c r="C15" s="42"/>
    </row>
    <row r="16" spans="2:3" x14ac:dyDescent="0.2">
      <c r="C16" s="42"/>
    </row>
    <row r="17" spans="3:3" x14ac:dyDescent="0.2">
      <c r="C17" s="42"/>
    </row>
    <row r="18" spans="3:3" x14ac:dyDescent="0.2">
      <c r="C18" s="42"/>
    </row>
    <row r="19" spans="3:3" x14ac:dyDescent="0.2">
      <c r="C19" s="42"/>
    </row>
    <row r="20" spans="3:3" x14ac:dyDescent="0.2">
      <c r="C20" s="42"/>
    </row>
    <row r="21" spans="3:3" x14ac:dyDescent="0.2">
      <c r="C21" s="42"/>
    </row>
    <row r="22" spans="3:3" x14ac:dyDescent="0.2">
      <c r="C22" s="42"/>
    </row>
    <row r="23" spans="3:3" x14ac:dyDescent="0.2">
      <c r="C23" s="42"/>
    </row>
    <row r="24" spans="3:3" x14ac:dyDescent="0.2">
      <c r="C24" s="42"/>
    </row>
    <row r="25" spans="3:3" x14ac:dyDescent="0.2">
      <c r="C25" s="42"/>
    </row>
    <row r="26" spans="3:3" x14ac:dyDescent="0.2">
      <c r="C26" s="42"/>
    </row>
    <row r="27" spans="3:3" x14ac:dyDescent="0.2">
      <c r="C27" s="42"/>
    </row>
    <row r="28" spans="3:3" x14ac:dyDescent="0.2">
      <c r="C28" s="42"/>
    </row>
    <row r="29" spans="3:3" x14ac:dyDescent="0.2">
      <c r="C29" s="42"/>
    </row>
    <row r="30" spans="3:3" x14ac:dyDescent="0.2">
      <c r="C30" s="42"/>
    </row>
    <row r="31" spans="3:3" x14ac:dyDescent="0.2">
      <c r="C31" s="42"/>
    </row>
    <row r="32" spans="3:3" x14ac:dyDescent="0.2">
      <c r="C32" s="42"/>
    </row>
    <row r="33" spans="3:3" x14ac:dyDescent="0.2">
      <c r="C33" s="42"/>
    </row>
    <row r="34" spans="3:3" x14ac:dyDescent="0.2">
      <c r="C34" s="42"/>
    </row>
    <row r="35" spans="3:3" x14ac:dyDescent="0.2">
      <c r="C35" s="42"/>
    </row>
    <row r="36" spans="3:3" x14ac:dyDescent="0.2">
      <c r="C36" s="42"/>
    </row>
    <row r="37" spans="3:3" x14ac:dyDescent="0.2">
      <c r="C37" s="42"/>
    </row>
    <row r="38" spans="3:3" x14ac:dyDescent="0.2">
      <c r="C38" s="42"/>
    </row>
    <row r="39" spans="3:3" x14ac:dyDescent="0.2">
      <c r="C39" s="42"/>
    </row>
    <row r="40" spans="3:3" x14ac:dyDescent="0.2">
      <c r="C40" s="42"/>
    </row>
    <row r="41" spans="3:3" x14ac:dyDescent="0.2">
      <c r="C41" s="4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B11"/>
  <sheetViews>
    <sheetView workbookViewId="0">
      <selection activeCell="D14" sqref="D14"/>
    </sheetView>
  </sheetViews>
  <sheetFormatPr defaultRowHeight="14.25" x14ac:dyDescent="0.2"/>
  <cols>
    <col min="2" max="2" width="16.375" bestFit="1" customWidth="1"/>
  </cols>
  <sheetData>
    <row r="2" spans="2:2" x14ac:dyDescent="0.2">
      <c r="B2" s="1" t="s">
        <v>20</v>
      </c>
    </row>
    <row r="3" spans="2:2" x14ac:dyDescent="0.2">
      <c r="B3" s="1" t="s">
        <v>19</v>
      </c>
    </row>
    <row r="4" spans="2:2" x14ac:dyDescent="0.2">
      <c r="B4" s="1"/>
    </row>
    <row r="5" spans="2:2" x14ac:dyDescent="0.2">
      <c r="B5" s="1"/>
    </row>
    <row r="6" spans="2:2" x14ac:dyDescent="0.2">
      <c r="B6" s="1"/>
    </row>
    <row r="7" spans="2:2" x14ac:dyDescent="0.2">
      <c r="B7" s="1"/>
    </row>
    <row r="8" spans="2:2" x14ac:dyDescent="0.2">
      <c r="B8" s="1"/>
    </row>
    <row r="9" spans="2:2" x14ac:dyDescent="0.2">
      <c r="B9" s="1"/>
    </row>
    <row r="10" spans="2:2" x14ac:dyDescent="0.2">
      <c r="B10" s="1"/>
    </row>
    <row r="11" spans="2:2" x14ac:dyDescent="0.2">
      <c r="B11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Invoice</vt:lpstr>
      <vt:lpstr>Data</vt:lpstr>
      <vt:lpstr>Sales</vt:lpstr>
      <vt:lpstr>Customers Data</vt:lpstr>
      <vt:lpstr>Class</vt:lpstr>
      <vt:lpstr>Sales_Class</vt:lpstr>
      <vt:lpstr>Vendor_Name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Fouad</dc:creator>
  <cp:lastModifiedBy>M.Fouad</cp:lastModifiedBy>
  <dcterms:created xsi:type="dcterms:W3CDTF">2015-06-05T18:17:20Z</dcterms:created>
  <dcterms:modified xsi:type="dcterms:W3CDTF">2019-08-21T11:05:24Z</dcterms:modified>
</cp:coreProperties>
</file>